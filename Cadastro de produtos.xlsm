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dnah\OneDrive\Área de Trabalho\DRIVE THRU\"/>
    </mc:Choice>
  </mc:AlternateContent>
  <xr:revisionPtr revIDLastSave="0" documentId="13_ncr:1_{72EEAB48-FDCE-4951-B58C-9CB0C5BEDD19}" xr6:coauthVersionLast="47" xr6:coauthVersionMax="47" xr10:uidLastSave="{00000000-0000-0000-0000-000000000000}"/>
  <bookViews>
    <workbookView xWindow="28680" yWindow="-120" windowWidth="19440" windowHeight="15000" activeTab="2" xr2:uid="{55FB9336-AA48-4EAE-BE0E-663960205C1B}"/>
  </bookViews>
  <sheets>
    <sheet name="Menu" sheetId="3" r:id="rId1"/>
    <sheet name="Dados" sheetId="1" r:id="rId2"/>
    <sheet name="Lista" sheetId="2" r:id="rId3"/>
    <sheet name="Resultado" sheetId="4" r:id="rId4"/>
  </sheets>
  <definedNames>
    <definedName name="_xlnm._FilterDatabase" localSheetId="2" hidden="1">Lista!$A$2:$D$69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2" i="2" l="1"/>
  <c r="E37" i="2"/>
  <c r="E10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2" i="2"/>
  <c r="D35" i="1"/>
  <c r="B72" i="2"/>
  <c r="B56" i="4"/>
  <c r="B54" i="4"/>
  <c r="B36" i="4"/>
  <c r="B34" i="4"/>
  <c r="B32" i="4"/>
  <c r="B30" i="4"/>
  <c r="B29" i="4"/>
  <c r="B27" i="4"/>
  <c r="B24" i="4"/>
  <c r="B23" i="4"/>
  <c r="B22" i="4"/>
  <c r="B20" i="4"/>
  <c r="B19" i="4"/>
  <c r="B18" i="4"/>
  <c r="B17" i="4"/>
  <c r="B16" i="4"/>
  <c r="B14" i="4"/>
  <c r="B12" i="4"/>
  <c r="B7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5" i="4"/>
  <c r="B53" i="4"/>
  <c r="B52" i="4"/>
  <c r="B51" i="4"/>
  <c r="B50" i="4"/>
  <c r="B49" i="4"/>
  <c r="B48" i="4"/>
  <c r="B47" i="4"/>
  <c r="B46" i="4"/>
  <c r="B45" i="4"/>
  <c r="B6" i="4"/>
  <c r="B44" i="4"/>
  <c r="B43" i="4"/>
  <c r="B42" i="4"/>
  <c r="B41" i="4"/>
  <c r="B40" i="4"/>
  <c r="B39" i="4"/>
  <c r="B38" i="4"/>
  <c r="B37" i="4"/>
  <c r="B35" i="4"/>
  <c r="B33" i="4"/>
  <c r="B31" i="4"/>
  <c r="B28" i="4"/>
  <c r="B26" i="4"/>
  <c r="B25" i="4"/>
  <c r="B21" i="4"/>
  <c r="B15" i="4"/>
  <c r="B13" i="4"/>
  <c r="B11" i="4"/>
  <c r="B10" i="4"/>
  <c r="B9" i="4"/>
  <c r="B8" i="4"/>
  <c r="B5" i="4"/>
  <c r="B4" i="4"/>
  <c r="B3" i="4"/>
  <c r="B2" i="4"/>
  <c r="B88" i="4" l="1"/>
</calcChain>
</file>

<file path=xl/sharedStrings.xml><?xml version="1.0" encoding="utf-8"?>
<sst xmlns="http://schemas.openxmlformats.org/spreadsheetml/2006/main" count="184" uniqueCount="94">
  <si>
    <t>DESCRIÇÃO DO PRODUTO</t>
  </si>
  <si>
    <t>QUANTIDADE</t>
  </si>
  <si>
    <t>PESO</t>
  </si>
  <si>
    <t>PESO TOTAL</t>
  </si>
  <si>
    <t>ID</t>
  </si>
  <si>
    <t>DATA</t>
  </si>
  <si>
    <t>FEIJÃO</t>
  </si>
  <si>
    <t>AÇÚCAR</t>
  </si>
  <si>
    <t>ACHOCOLATADO</t>
  </si>
  <si>
    <t>ARROZ 5KG</t>
  </si>
  <si>
    <t>BISCOITO</t>
  </si>
  <si>
    <t>CAFÉ</t>
  </si>
  <si>
    <t>MOLHO DE TOMATE</t>
  </si>
  <si>
    <t>LEITE</t>
  </si>
  <si>
    <t>FARINHA DE MANDIOCA</t>
  </si>
  <si>
    <t>ARROZ 1KG</t>
  </si>
  <si>
    <t>CESTAS BÁSICAS</t>
  </si>
  <si>
    <t>FARINHA DE TRIGO</t>
  </si>
  <si>
    <t>FUBÁ</t>
  </si>
  <si>
    <t>GOIABADA</t>
  </si>
  <si>
    <t>LEITE EM PÓ</t>
  </si>
  <si>
    <t>MACARRÃO</t>
  </si>
  <si>
    <t>MAIONESE</t>
  </si>
  <si>
    <t>ÓLEO</t>
  </si>
  <si>
    <t>SAL</t>
  </si>
  <si>
    <t>ABSORVENTE</t>
  </si>
  <si>
    <t>ÁGUA SANITÁRIA</t>
  </si>
  <si>
    <t>DETERGENTE</t>
  </si>
  <si>
    <t>MULTIUSO</t>
  </si>
  <si>
    <t>PAPEL HIGIÊNICO</t>
  </si>
  <si>
    <t>PASTA DE DENTE</t>
  </si>
  <si>
    <t>SABÃO EM PÓ</t>
  </si>
  <si>
    <t>SABONETE</t>
  </si>
  <si>
    <t>RAÇÃO DE CACHORRO 15KG</t>
  </si>
  <si>
    <t>RAÇÃO DE CACHORRO 6KG</t>
  </si>
  <si>
    <t>RAÇÃO DE GATO 1KG</t>
  </si>
  <si>
    <t>RAÇÃO DE GATO 3KG</t>
  </si>
  <si>
    <t>LINGUIÇA DEFUMADA</t>
  </si>
  <si>
    <t>MACARRÃO INTEGRAL SELMI</t>
  </si>
  <si>
    <t>Produto</t>
  </si>
  <si>
    <t>QTD total</t>
  </si>
  <si>
    <t>Total de itens</t>
  </si>
  <si>
    <t>AREIA DE GATO</t>
  </si>
  <si>
    <t>BOLINHA</t>
  </si>
  <si>
    <t>CAIXA DE TRANSPORTE</t>
  </si>
  <si>
    <t>CHOCOLATE</t>
  </si>
  <si>
    <t>CONDICIONADOR</t>
  </si>
  <si>
    <t>CREME DE LEITE</t>
  </si>
  <si>
    <t>DESODORANTE</t>
  </si>
  <si>
    <t>ERVILHA</t>
  </si>
  <si>
    <t>ESCOVA DE DENTE</t>
  </si>
  <si>
    <t>ESPUMA DE BARBEAR</t>
  </si>
  <si>
    <t>FLOCOS DE AVEIA</t>
  </si>
  <si>
    <t>GELATINA</t>
  </si>
  <si>
    <t>JORNAL</t>
  </si>
  <si>
    <t>LEITE CONDENSADO</t>
  </si>
  <si>
    <t>LENÇO</t>
  </si>
  <si>
    <t>LENTILHA</t>
  </si>
  <si>
    <t>LUVA</t>
  </si>
  <si>
    <t>MILHO</t>
  </si>
  <si>
    <t>PANETONE</t>
  </si>
  <si>
    <t>PIPOCA</t>
  </si>
  <si>
    <t>QUEIJO RALADO</t>
  </si>
  <si>
    <t>SARDINHA</t>
  </si>
  <si>
    <t>SELETA DE LEGUMES</t>
  </si>
  <si>
    <t>SHAMPOO</t>
  </si>
  <si>
    <t>SUCO</t>
  </si>
  <si>
    <t>TEMPERO</t>
  </si>
  <si>
    <t>AGUA SANITARIA</t>
  </si>
  <si>
    <t>OLEO</t>
  </si>
  <si>
    <t>ARROZ 2KG</t>
  </si>
  <si>
    <t>AÇUCAR</t>
  </si>
  <si>
    <t>CESTA BASICA</t>
  </si>
  <si>
    <t>CHA</t>
  </si>
  <si>
    <t>FEIJAO</t>
  </si>
  <si>
    <t>FRALDA GERIATRICA</t>
  </si>
  <si>
    <t>LEITE EM PO</t>
  </si>
  <si>
    <t>MACARRAO</t>
  </si>
  <si>
    <t>MACARRAO INTEGRAL SELMI</t>
  </si>
  <si>
    <t>PAPEL HIGIENICO</t>
  </si>
  <si>
    <t>SABAO EM PO</t>
  </si>
  <si>
    <t>SACHE</t>
  </si>
  <si>
    <t>SOPAO</t>
  </si>
  <si>
    <t>SABAO EM BARRA</t>
  </si>
  <si>
    <t>CAFE</t>
  </si>
  <si>
    <t>FUBA</t>
  </si>
  <si>
    <t>RAÇAO DE CACHORRO 15KG</t>
  </si>
  <si>
    <t>RAÇAO DE CACHORRO 6KG</t>
  </si>
  <si>
    <t>RAÇAO DE GATO 1KG</t>
  </si>
  <si>
    <t>RAÇAO DE GATO 3KG</t>
  </si>
  <si>
    <t>AMIDO DE MILHO</t>
  </si>
  <si>
    <t>FAROFA</t>
  </si>
  <si>
    <t>RAÇAO DE CACHORRO 10KG</t>
  </si>
  <si>
    <t>RAÇAO DE CACHORRO 1KG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</si>
</sst>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sz val="12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3" borderId="0" applyNumberFormat="0" applyBorder="0" applyAlignment="0" applyProtection="0"/>
  </cellStyleXfs>
  <cellXfs count="13">
    <xf numFmtId="0" fontId="0" fillId="0" borderId="0" xfId="0"/>
    <xf numFmtId="0" fontId="1" fillId="2" borderId="1" xfId="0" applyFont="1" applyFill="1" applyBorder="1"/>
    <xf numFmtId="14" fontId="0" fillId="0" borderId="0" xfId="0" applyNumberFormat="1"/>
    <xf numFmtId="1" fontId="1" fillId="2" borderId="1" xfId="0" applyNumberFormat="1" applyFont="1" applyFill="1" applyBorder="1" applyAlignment="1">
      <alignment horizontal="center" vertical="top"/>
    </xf>
    <xf numFmtId="1" fontId="0" fillId="0" borderId="0" xfId="0" applyNumberFormat="1" applyAlignment="1">
      <alignment horizontal="center" vertical="top"/>
    </xf>
    <xf numFmtId="0" fontId="2" fillId="3" borderId="0" xfId="1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 vertical="top"/>
    </xf>
    <xf numFmtId="0" fontId="3" fillId="4" borderId="1" xfId="1" applyFont="1" applyFill="1" applyBorder="1"/>
    <xf numFmtId="0" fontId="3" fillId="4" borderId="1" xfId="1" applyFont="1" applyFill="1" applyBorder="1" applyAlignment="1">
      <alignment vertical="center"/>
    </xf>
    <xf numFmtId="0" fontId="4" fillId="4" borderId="1" xfId="0" applyFont="1" applyFill="1" applyBorder="1"/>
    <xf numFmtId="0" fontId="4" fillId="4" borderId="0" xfId="0" applyFont="1" applyFill="1" applyBorder="1"/>
    <xf numFmtId="1" fontId="0" fillId="0" borderId="0" xfId="0" applyNumberFormat="1"/>
  </cellXfs>
  <cellStyles count="2">
    <cellStyle name="Ênfase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7</xdr:row>
          <xdr:rowOff>7620</xdr:rowOff>
        </xdr:from>
        <xdr:to>
          <xdr:col>10</xdr:col>
          <xdr:colOff>403860</xdr:colOff>
          <xdr:row>13</xdr:row>
          <xdr:rowOff>152400</xdr:rowOff>
        </xdr:to>
        <xdr:sp macro="" textlink="">
          <xdr:nvSpPr>
            <xdr:cNvPr id="3073" name="CBFormulario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F5725-F431-40D8-94B7-A603CAD941E3}">
  <sheetPr codeName="Planilha3"/>
  <dimension ref="A1"/>
  <sheetViews>
    <sheetView showGridLines="0" workbookViewId="0">
      <selection activeCell="J19" sqref="J19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3073" r:id="rId4" name="CBFormulario">
          <controlPr defaultSize="0" autoLine="0" r:id="rId5">
            <anchor moveWithCells="1">
              <from>
                <xdr:col>6</xdr:col>
                <xdr:colOff>137160</xdr:colOff>
                <xdr:row>7</xdr:row>
                <xdr:rowOff>7620</xdr:rowOff>
              </from>
              <to>
                <xdr:col>10</xdr:col>
                <xdr:colOff>403860</xdr:colOff>
                <xdr:row>13</xdr:row>
                <xdr:rowOff>152400</xdr:rowOff>
              </to>
            </anchor>
          </controlPr>
        </control>
      </mc:Choice>
      <mc:Fallback>
        <control shapeId="3073" r:id="rId4" name="CBFormulari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4B285-A563-4BD8-8534-4BC64CD2599D}">
  <sheetPr codeName="Planilha1"/>
  <dimension ref="A1:F35"/>
  <sheetViews>
    <sheetView showGridLines="0" topLeftCell="A16" zoomScale="115" zoomScaleNormal="115" workbookViewId="0">
      <selection activeCell="D37" sqref="D37"/>
    </sheetView>
  </sheetViews>
  <sheetFormatPr defaultRowHeight="14.4" x14ac:dyDescent="0.3"/>
  <cols>
    <col min="1" max="1" width="3.33203125" bestFit="1" customWidth="1"/>
    <col min="2" max="2" width="11.5546875" bestFit="1" customWidth="1"/>
    <col min="3" max="3" width="25.6640625" bestFit="1" customWidth="1"/>
    <col min="4" max="4" width="12.33203125" bestFit="1" customWidth="1"/>
    <col min="5" max="5" width="5.44140625" bestFit="1" customWidth="1"/>
    <col min="6" max="6" width="11.21875" style="4" bestFit="1" customWidth="1"/>
  </cols>
  <sheetData>
    <row r="1" spans="1:6" x14ac:dyDescent="0.3">
      <c r="A1" s="1" t="s">
        <v>4</v>
      </c>
      <c r="B1" s="1" t="s">
        <v>5</v>
      </c>
      <c r="C1" s="1" t="s">
        <v>0</v>
      </c>
      <c r="D1" s="1" t="s">
        <v>1</v>
      </c>
      <c r="E1" s="1" t="s">
        <v>2</v>
      </c>
      <c r="F1" s="3" t="s">
        <v>3</v>
      </c>
    </row>
    <row r="2" spans="1:6" x14ac:dyDescent="0.3">
      <c r="A2">
        <v>1</v>
      </c>
      <c r="B2" s="2">
        <v>44684</v>
      </c>
      <c r="C2" t="s">
        <v>25</v>
      </c>
      <c r="D2">
        <v>5</v>
      </c>
      <c r="E2">
        <v>300</v>
      </c>
      <c r="F2" s="4">
        <v>1500</v>
      </c>
    </row>
    <row r="3" spans="1:6" x14ac:dyDescent="0.3">
      <c r="A3">
        <v>2</v>
      </c>
      <c r="B3" s="2">
        <v>44684</v>
      </c>
      <c r="C3" t="s">
        <v>8</v>
      </c>
      <c r="D3">
        <v>3</v>
      </c>
      <c r="E3">
        <v>250</v>
      </c>
      <c r="F3" s="4">
        <v>750</v>
      </c>
    </row>
    <row r="4" spans="1:6" x14ac:dyDescent="0.3">
      <c r="A4">
        <v>3</v>
      </c>
      <c r="B4" s="2">
        <v>44684</v>
      </c>
      <c r="C4" t="s">
        <v>7</v>
      </c>
      <c r="D4">
        <v>22</v>
      </c>
      <c r="E4">
        <v>1</v>
      </c>
      <c r="F4" s="4">
        <v>22</v>
      </c>
    </row>
    <row r="5" spans="1:6" x14ac:dyDescent="0.3">
      <c r="A5">
        <v>4</v>
      </c>
      <c r="B5" s="2">
        <v>44684</v>
      </c>
      <c r="C5" t="s">
        <v>26</v>
      </c>
      <c r="D5">
        <v>2</v>
      </c>
      <c r="E5">
        <v>1</v>
      </c>
      <c r="F5" s="4">
        <v>2</v>
      </c>
    </row>
    <row r="6" spans="1:6" x14ac:dyDescent="0.3">
      <c r="A6">
        <v>5</v>
      </c>
      <c r="B6" s="2">
        <v>44684</v>
      </c>
      <c r="C6" t="s">
        <v>15</v>
      </c>
      <c r="D6">
        <v>14</v>
      </c>
      <c r="E6">
        <v>1</v>
      </c>
      <c r="F6" s="4">
        <v>14</v>
      </c>
    </row>
    <row r="7" spans="1:6" x14ac:dyDescent="0.3">
      <c r="A7">
        <v>6</v>
      </c>
      <c r="B7" s="2">
        <v>44684</v>
      </c>
      <c r="C7" t="s">
        <v>9</v>
      </c>
      <c r="D7">
        <v>61</v>
      </c>
      <c r="E7">
        <v>5</v>
      </c>
      <c r="F7" s="4">
        <v>305</v>
      </c>
    </row>
    <row r="8" spans="1:6" x14ac:dyDescent="0.3">
      <c r="A8">
        <v>7</v>
      </c>
      <c r="B8" s="2">
        <v>44684</v>
      </c>
      <c r="C8" t="s">
        <v>10</v>
      </c>
      <c r="D8">
        <v>41</v>
      </c>
      <c r="E8">
        <v>250</v>
      </c>
      <c r="F8" s="4">
        <v>10250</v>
      </c>
    </row>
    <row r="9" spans="1:6" x14ac:dyDescent="0.3">
      <c r="A9">
        <v>8</v>
      </c>
      <c r="B9" s="2">
        <v>44684</v>
      </c>
      <c r="C9" t="s">
        <v>11</v>
      </c>
      <c r="D9">
        <v>30</v>
      </c>
      <c r="E9">
        <v>500</v>
      </c>
      <c r="F9" s="4">
        <v>15000</v>
      </c>
    </row>
    <row r="10" spans="1:6" x14ac:dyDescent="0.3">
      <c r="A10">
        <v>9</v>
      </c>
      <c r="B10" s="2">
        <v>44684</v>
      </c>
      <c r="C10" t="s">
        <v>16</v>
      </c>
      <c r="D10">
        <v>3</v>
      </c>
      <c r="E10">
        <v>10</v>
      </c>
      <c r="F10" s="4">
        <v>30</v>
      </c>
    </row>
    <row r="11" spans="1:6" x14ac:dyDescent="0.3">
      <c r="A11">
        <v>10</v>
      </c>
      <c r="B11" s="2">
        <v>44684</v>
      </c>
      <c r="C11" t="s">
        <v>27</v>
      </c>
      <c r="D11">
        <v>4</v>
      </c>
      <c r="E11">
        <v>200</v>
      </c>
      <c r="F11" s="4">
        <v>800</v>
      </c>
    </row>
    <row r="12" spans="1:6" x14ac:dyDescent="0.3">
      <c r="A12">
        <v>11</v>
      </c>
      <c r="B12" s="2">
        <v>44684</v>
      </c>
      <c r="C12" t="s">
        <v>14</v>
      </c>
      <c r="D12">
        <v>1</v>
      </c>
      <c r="E12">
        <v>500</v>
      </c>
      <c r="F12" s="4">
        <v>500</v>
      </c>
    </row>
    <row r="13" spans="1:6" x14ac:dyDescent="0.3">
      <c r="A13">
        <v>13</v>
      </c>
      <c r="B13" s="2">
        <v>44684</v>
      </c>
      <c r="C13" t="s">
        <v>17</v>
      </c>
      <c r="D13">
        <v>2</v>
      </c>
      <c r="E13">
        <v>1</v>
      </c>
      <c r="F13" s="4">
        <v>2</v>
      </c>
    </row>
    <row r="14" spans="1:6" x14ac:dyDescent="0.3">
      <c r="A14">
        <v>14</v>
      </c>
      <c r="B14" s="2">
        <v>44684</v>
      </c>
      <c r="C14" t="s">
        <v>6</v>
      </c>
      <c r="D14">
        <v>72</v>
      </c>
      <c r="E14">
        <v>1</v>
      </c>
      <c r="F14" s="4">
        <v>72</v>
      </c>
    </row>
    <row r="15" spans="1:6" x14ac:dyDescent="0.3">
      <c r="A15">
        <v>15</v>
      </c>
      <c r="B15" s="2">
        <v>44684</v>
      </c>
      <c r="C15" t="s">
        <v>18</v>
      </c>
      <c r="D15">
        <v>4</v>
      </c>
      <c r="E15">
        <v>1</v>
      </c>
      <c r="F15" s="4">
        <v>4</v>
      </c>
    </row>
    <row r="16" spans="1:6" x14ac:dyDescent="0.3">
      <c r="A16">
        <v>16</v>
      </c>
      <c r="B16" s="2">
        <v>44684</v>
      </c>
      <c r="C16" t="s">
        <v>19</v>
      </c>
      <c r="D16">
        <v>1</v>
      </c>
      <c r="E16">
        <v>200</v>
      </c>
      <c r="F16" s="4">
        <v>200</v>
      </c>
    </row>
    <row r="17" spans="1:6" x14ac:dyDescent="0.3">
      <c r="A17">
        <v>18</v>
      </c>
      <c r="B17" s="2">
        <v>44684</v>
      </c>
      <c r="C17" t="s">
        <v>13</v>
      </c>
      <c r="D17">
        <v>12</v>
      </c>
      <c r="E17">
        <v>1</v>
      </c>
      <c r="F17" s="4">
        <v>12</v>
      </c>
    </row>
    <row r="18" spans="1:6" x14ac:dyDescent="0.3">
      <c r="A18">
        <v>19</v>
      </c>
      <c r="B18" s="2">
        <v>44684</v>
      </c>
      <c r="C18" t="s">
        <v>20</v>
      </c>
      <c r="D18">
        <v>4</v>
      </c>
      <c r="E18">
        <v>1</v>
      </c>
      <c r="F18" s="4">
        <v>4</v>
      </c>
    </row>
    <row r="19" spans="1:6" x14ac:dyDescent="0.3">
      <c r="A19">
        <v>20</v>
      </c>
      <c r="B19" s="2">
        <v>44684</v>
      </c>
      <c r="C19" t="s">
        <v>37</v>
      </c>
      <c r="D19">
        <v>1</v>
      </c>
      <c r="E19">
        <v>300</v>
      </c>
      <c r="F19" s="4">
        <v>300</v>
      </c>
    </row>
    <row r="20" spans="1:6" x14ac:dyDescent="0.3">
      <c r="A20">
        <v>21</v>
      </c>
      <c r="B20" s="2">
        <v>44684</v>
      </c>
      <c r="C20" t="s">
        <v>21</v>
      </c>
      <c r="D20">
        <v>96</v>
      </c>
      <c r="E20">
        <v>1</v>
      </c>
      <c r="F20" s="4">
        <v>96</v>
      </c>
    </row>
    <row r="21" spans="1:6" x14ac:dyDescent="0.3">
      <c r="A21">
        <v>22</v>
      </c>
      <c r="B21" s="2">
        <v>44684</v>
      </c>
      <c r="C21" t="s">
        <v>38</v>
      </c>
      <c r="D21">
        <v>7</v>
      </c>
      <c r="E21">
        <v>10</v>
      </c>
      <c r="F21" s="4">
        <v>70</v>
      </c>
    </row>
    <row r="22" spans="1:6" x14ac:dyDescent="0.3">
      <c r="A22">
        <v>23</v>
      </c>
      <c r="B22" s="2">
        <v>44684</v>
      </c>
      <c r="C22" t="s">
        <v>22</v>
      </c>
      <c r="D22">
        <v>1</v>
      </c>
      <c r="E22">
        <v>300</v>
      </c>
      <c r="F22" s="4">
        <v>300</v>
      </c>
    </row>
    <row r="23" spans="1:6" x14ac:dyDescent="0.3">
      <c r="A23">
        <v>24</v>
      </c>
      <c r="B23" s="2">
        <v>44684</v>
      </c>
      <c r="C23" t="s">
        <v>12</v>
      </c>
      <c r="D23">
        <v>61</v>
      </c>
      <c r="E23">
        <v>300</v>
      </c>
      <c r="F23" s="4">
        <v>18300</v>
      </c>
    </row>
    <row r="24" spans="1:6" x14ac:dyDescent="0.3">
      <c r="A24">
        <v>25</v>
      </c>
      <c r="B24" s="2">
        <v>44684</v>
      </c>
      <c r="C24" t="s">
        <v>28</v>
      </c>
      <c r="D24">
        <v>1</v>
      </c>
      <c r="E24">
        <v>200</v>
      </c>
      <c r="F24" s="4">
        <v>200</v>
      </c>
    </row>
    <row r="25" spans="1:6" x14ac:dyDescent="0.3">
      <c r="A25">
        <v>26</v>
      </c>
      <c r="B25" s="2">
        <v>44684</v>
      </c>
      <c r="C25" t="s">
        <v>23</v>
      </c>
      <c r="D25">
        <v>32</v>
      </c>
      <c r="E25">
        <v>1</v>
      </c>
      <c r="F25" s="4">
        <v>32</v>
      </c>
    </row>
    <row r="26" spans="1:6" x14ac:dyDescent="0.3">
      <c r="A26">
        <v>27</v>
      </c>
      <c r="B26" s="2">
        <v>44684</v>
      </c>
      <c r="C26" t="s">
        <v>29</v>
      </c>
      <c r="D26">
        <v>2</v>
      </c>
      <c r="E26">
        <v>200</v>
      </c>
      <c r="F26" s="4">
        <v>400</v>
      </c>
    </row>
    <row r="27" spans="1:6" x14ac:dyDescent="0.3">
      <c r="A27">
        <v>28</v>
      </c>
      <c r="B27" s="2">
        <v>44684</v>
      </c>
      <c r="C27" t="s">
        <v>30</v>
      </c>
      <c r="D27">
        <v>3</v>
      </c>
      <c r="E27">
        <v>200</v>
      </c>
      <c r="F27" s="4">
        <v>600</v>
      </c>
    </row>
    <row r="28" spans="1:6" x14ac:dyDescent="0.3">
      <c r="A28">
        <v>29</v>
      </c>
      <c r="B28" s="2">
        <v>44684</v>
      </c>
      <c r="C28" t="s">
        <v>33</v>
      </c>
      <c r="D28">
        <v>1</v>
      </c>
      <c r="E28">
        <v>15</v>
      </c>
      <c r="F28" s="4">
        <v>15</v>
      </c>
    </row>
    <row r="29" spans="1:6" x14ac:dyDescent="0.3">
      <c r="A29">
        <v>30</v>
      </c>
      <c r="B29" s="2">
        <v>44684</v>
      </c>
      <c r="C29" t="s">
        <v>34</v>
      </c>
      <c r="D29">
        <v>1</v>
      </c>
      <c r="E29">
        <v>6</v>
      </c>
      <c r="F29" s="4">
        <v>6</v>
      </c>
    </row>
    <row r="30" spans="1:6" x14ac:dyDescent="0.3">
      <c r="A30">
        <v>31</v>
      </c>
      <c r="B30" s="2">
        <v>44684</v>
      </c>
      <c r="C30" t="s">
        <v>35</v>
      </c>
      <c r="D30">
        <v>2</v>
      </c>
      <c r="E30">
        <v>1</v>
      </c>
      <c r="F30" s="4">
        <v>2</v>
      </c>
    </row>
    <row r="31" spans="1:6" x14ac:dyDescent="0.3">
      <c r="A31">
        <v>32</v>
      </c>
      <c r="B31" s="2">
        <v>44684</v>
      </c>
      <c r="C31" t="s">
        <v>36</v>
      </c>
      <c r="D31">
        <v>1</v>
      </c>
      <c r="E31">
        <v>1</v>
      </c>
      <c r="F31" s="4">
        <v>1</v>
      </c>
    </row>
    <row r="32" spans="1:6" x14ac:dyDescent="0.3">
      <c r="A32">
        <v>33</v>
      </c>
      <c r="B32" s="2">
        <v>44684</v>
      </c>
      <c r="C32" t="s">
        <v>31</v>
      </c>
      <c r="D32">
        <v>2</v>
      </c>
      <c r="E32">
        <v>1</v>
      </c>
      <c r="F32" s="4">
        <v>2</v>
      </c>
    </row>
    <row r="33" spans="1:6" x14ac:dyDescent="0.3">
      <c r="A33">
        <v>34</v>
      </c>
      <c r="B33" s="2">
        <v>44684</v>
      </c>
      <c r="C33" t="s">
        <v>32</v>
      </c>
      <c r="D33">
        <v>9</v>
      </c>
      <c r="E33">
        <v>200</v>
      </c>
      <c r="F33" s="4">
        <v>1800</v>
      </c>
    </row>
    <row r="34" spans="1:6" x14ac:dyDescent="0.3">
      <c r="A34">
        <v>35</v>
      </c>
      <c r="B34" s="2">
        <v>44684</v>
      </c>
      <c r="C34" t="s">
        <v>24</v>
      </c>
      <c r="D34">
        <v>6</v>
      </c>
      <c r="E34">
        <v>1</v>
      </c>
      <c r="F34" s="4">
        <v>6</v>
      </c>
    </row>
    <row r="35" spans="1:6" x14ac:dyDescent="0.3">
      <c r="D35">
        <f>SUM(D2:D34)</f>
        <v>507</v>
      </c>
    </row>
  </sheetData>
  <sortState xmlns:xlrd2="http://schemas.microsoft.com/office/spreadsheetml/2017/richdata2" ref="B2:F34">
    <sortCondition ref="C2:C34"/>
  </sortState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75341-972C-428E-98C5-5D3BEC5E18F0}">
  <sheetPr codeName="Planilha2"/>
  <dimension ref="A1:E72"/>
  <sheetViews>
    <sheetView showGridLines="0" tabSelected="1" topLeftCell="A55" workbookViewId="0">
      <selection activeCell="D72" sqref="D72"/>
    </sheetView>
  </sheetViews>
  <sheetFormatPr defaultRowHeight="14.4" x14ac:dyDescent="0.3"/>
  <cols>
    <col min="1" max="1" width="28.109375" bestFit="1" customWidth="1"/>
    <col min="2" max="2" width="12.44140625" bestFit="1" customWidth="1"/>
    <col min="3" max="3" width="5.44140625" bestFit="1" customWidth="1"/>
    <col min="4" max="4" width="11.21875" bestFit="1" customWidth="1"/>
  </cols>
  <sheetData>
    <row r="1" spans="1:5" x14ac:dyDescent="0.3">
      <c r="A1" s="1" t="s">
        <v>0</v>
      </c>
      <c r="B1" s="1" t="s">
        <v>1</v>
      </c>
      <c r="C1" s="1" t="s">
        <v>2</v>
      </c>
      <c r="D1" s="1" t="s">
        <v>3</v>
      </c>
    </row>
    <row r="2" spans="1:5" ht="15.6" x14ac:dyDescent="0.3">
      <c r="A2" s="6" t="s">
        <v>25</v>
      </c>
      <c r="B2" s="6">
        <v>5</v>
      </c>
      <c r="C2" s="6">
        <v>200</v>
      </c>
      <c r="D2" s="7">
        <f>C2*B2</f>
        <v>1000</v>
      </c>
    </row>
    <row r="3" spans="1:5" ht="15.6" x14ac:dyDescent="0.3">
      <c r="A3" s="6" t="s">
        <v>8</v>
      </c>
      <c r="B3" s="6">
        <v>3</v>
      </c>
      <c r="C3" s="6">
        <v>250</v>
      </c>
      <c r="D3" s="7">
        <f t="shared" ref="D3:D66" si="0">C3*B3</f>
        <v>750</v>
      </c>
    </row>
    <row r="4" spans="1:5" ht="15.6" x14ac:dyDescent="0.3">
      <c r="A4" s="6" t="s">
        <v>71</v>
      </c>
      <c r="B4" s="6">
        <v>22</v>
      </c>
      <c r="C4" s="6">
        <v>1</v>
      </c>
      <c r="D4" s="7">
        <f t="shared" si="0"/>
        <v>22</v>
      </c>
    </row>
    <row r="5" spans="1:5" ht="15.6" x14ac:dyDescent="0.3">
      <c r="A5" s="6" t="s">
        <v>68</v>
      </c>
      <c r="B5" s="6">
        <v>2</v>
      </c>
      <c r="C5" s="6">
        <v>1</v>
      </c>
      <c r="D5" s="7">
        <f t="shared" si="0"/>
        <v>2</v>
      </c>
    </row>
    <row r="6" spans="1:5" ht="15.6" x14ac:dyDescent="0.3">
      <c r="A6" s="6" t="s">
        <v>90</v>
      </c>
      <c r="B6" s="6"/>
      <c r="C6" s="6"/>
      <c r="D6" s="7">
        <f t="shared" si="0"/>
        <v>0</v>
      </c>
    </row>
    <row r="7" spans="1:5" ht="15.6" x14ac:dyDescent="0.3">
      <c r="A7" s="6" t="s">
        <v>42</v>
      </c>
      <c r="B7" s="6"/>
      <c r="C7" s="6"/>
      <c r="D7" s="7">
        <f t="shared" si="0"/>
        <v>0</v>
      </c>
    </row>
    <row r="8" spans="1:5" ht="15.6" x14ac:dyDescent="0.3">
      <c r="A8" s="6" t="s">
        <v>15</v>
      </c>
      <c r="B8" s="6">
        <v>14</v>
      </c>
      <c r="C8" s="6">
        <v>1</v>
      </c>
      <c r="D8" s="7">
        <f t="shared" si="0"/>
        <v>14</v>
      </c>
    </row>
    <row r="9" spans="1:5" ht="15.6" x14ac:dyDescent="0.3">
      <c r="A9" s="6" t="s">
        <v>70</v>
      </c>
      <c r="B9" s="6"/>
      <c r="C9" s="6"/>
      <c r="D9" s="7">
        <f t="shared" si="0"/>
        <v>0</v>
      </c>
    </row>
    <row r="10" spans="1:5" ht="15.6" x14ac:dyDescent="0.3">
      <c r="A10" s="6" t="s">
        <v>9</v>
      </c>
      <c r="B10" s="6">
        <v>61</v>
      </c>
      <c r="C10" s="6">
        <v>5</v>
      </c>
      <c r="D10" s="7">
        <f t="shared" si="0"/>
        <v>305</v>
      </c>
      <c r="E10" s="12">
        <f>D10+D8</f>
        <v>319</v>
      </c>
    </row>
    <row r="11" spans="1:5" ht="15.6" x14ac:dyDescent="0.3">
      <c r="A11" s="6" t="s">
        <v>10</v>
      </c>
      <c r="B11" s="6">
        <v>41</v>
      </c>
      <c r="C11" s="6">
        <v>200</v>
      </c>
      <c r="D11" s="7">
        <f t="shared" si="0"/>
        <v>8200</v>
      </c>
    </row>
    <row r="12" spans="1:5" ht="15.6" x14ac:dyDescent="0.3">
      <c r="A12" s="6" t="s">
        <v>43</v>
      </c>
      <c r="B12" s="6"/>
      <c r="C12" s="6"/>
      <c r="D12" s="7">
        <f t="shared" si="0"/>
        <v>0</v>
      </c>
    </row>
    <row r="13" spans="1:5" ht="15.6" x14ac:dyDescent="0.3">
      <c r="A13" s="6" t="s">
        <v>84</v>
      </c>
      <c r="B13" s="6">
        <v>30</v>
      </c>
      <c r="C13" s="6">
        <v>500</v>
      </c>
      <c r="D13" s="7">
        <f t="shared" si="0"/>
        <v>15000</v>
      </c>
    </row>
    <row r="14" spans="1:5" ht="15.6" x14ac:dyDescent="0.3">
      <c r="A14" s="6" t="s">
        <v>44</v>
      </c>
      <c r="B14" s="6"/>
      <c r="C14" s="6"/>
      <c r="D14" s="7">
        <f t="shared" si="0"/>
        <v>0</v>
      </c>
    </row>
    <row r="15" spans="1:5" ht="15.6" x14ac:dyDescent="0.3">
      <c r="A15" s="6" t="s">
        <v>72</v>
      </c>
      <c r="B15" s="6">
        <v>3</v>
      </c>
      <c r="C15" s="6">
        <v>10</v>
      </c>
      <c r="D15" s="7">
        <f t="shared" si="0"/>
        <v>30</v>
      </c>
    </row>
    <row r="16" spans="1:5" ht="15.6" x14ac:dyDescent="0.3">
      <c r="A16" s="6" t="s">
        <v>73</v>
      </c>
      <c r="B16" s="6"/>
      <c r="C16" s="6"/>
      <c r="D16" s="7">
        <f t="shared" si="0"/>
        <v>0</v>
      </c>
    </row>
    <row r="17" spans="1:4" ht="15.6" x14ac:dyDescent="0.3">
      <c r="A17" s="6" t="s">
        <v>45</v>
      </c>
      <c r="B17" s="6"/>
      <c r="C17" s="6"/>
      <c r="D17" s="7">
        <f t="shared" si="0"/>
        <v>0</v>
      </c>
    </row>
    <row r="18" spans="1:4" ht="15.6" x14ac:dyDescent="0.3">
      <c r="A18" s="6" t="s">
        <v>46</v>
      </c>
      <c r="B18" s="6"/>
      <c r="C18" s="6"/>
      <c r="D18" s="7">
        <f t="shared" si="0"/>
        <v>0</v>
      </c>
    </row>
    <row r="19" spans="1:4" ht="15.6" x14ac:dyDescent="0.3">
      <c r="A19" s="6" t="s">
        <v>47</v>
      </c>
      <c r="B19" s="6"/>
      <c r="C19" s="6"/>
      <c r="D19" s="7">
        <f t="shared" si="0"/>
        <v>0</v>
      </c>
    </row>
    <row r="20" spans="1:4" ht="15.6" x14ac:dyDescent="0.3">
      <c r="A20" s="6" t="s">
        <v>48</v>
      </c>
      <c r="B20" s="6"/>
      <c r="C20" s="6"/>
      <c r="D20" s="7">
        <f t="shared" si="0"/>
        <v>0</v>
      </c>
    </row>
    <row r="21" spans="1:4" ht="15.6" x14ac:dyDescent="0.3">
      <c r="A21" s="6" t="s">
        <v>27</v>
      </c>
      <c r="B21" s="6">
        <v>4</v>
      </c>
      <c r="C21" s="6">
        <v>200</v>
      </c>
      <c r="D21" s="7">
        <f t="shared" si="0"/>
        <v>800</v>
      </c>
    </row>
    <row r="22" spans="1:4" ht="15.6" x14ac:dyDescent="0.3">
      <c r="A22" s="6" t="s">
        <v>49</v>
      </c>
      <c r="B22" s="6"/>
      <c r="C22" s="6"/>
      <c r="D22" s="7">
        <f t="shared" si="0"/>
        <v>0</v>
      </c>
    </row>
    <row r="23" spans="1:4" ht="15.6" x14ac:dyDescent="0.3">
      <c r="A23" s="6" t="s">
        <v>50</v>
      </c>
      <c r="B23" s="6"/>
      <c r="C23" s="6"/>
      <c r="D23" s="7">
        <f t="shared" si="0"/>
        <v>0</v>
      </c>
    </row>
    <row r="24" spans="1:4" ht="15.6" x14ac:dyDescent="0.3">
      <c r="A24" s="6" t="s">
        <v>51</v>
      </c>
      <c r="B24" s="6"/>
      <c r="C24" s="6"/>
      <c r="D24" s="7">
        <f t="shared" si="0"/>
        <v>0</v>
      </c>
    </row>
    <row r="25" spans="1:4" ht="15.6" x14ac:dyDescent="0.3">
      <c r="A25" s="6" t="s">
        <v>14</v>
      </c>
      <c r="B25" s="6">
        <v>1</v>
      </c>
      <c r="C25" s="6">
        <v>500</v>
      </c>
      <c r="D25" s="7">
        <f t="shared" si="0"/>
        <v>500</v>
      </c>
    </row>
    <row r="26" spans="1:4" ht="15.6" x14ac:dyDescent="0.3">
      <c r="A26" s="6" t="s">
        <v>17</v>
      </c>
      <c r="B26" s="6">
        <v>2</v>
      </c>
      <c r="C26" s="6">
        <v>1</v>
      </c>
      <c r="D26" s="7">
        <f t="shared" si="0"/>
        <v>2</v>
      </c>
    </row>
    <row r="27" spans="1:4" ht="15.6" x14ac:dyDescent="0.3">
      <c r="A27" s="6" t="s">
        <v>91</v>
      </c>
      <c r="B27" s="6"/>
      <c r="C27" s="6"/>
      <c r="D27" s="7">
        <f t="shared" si="0"/>
        <v>0</v>
      </c>
    </row>
    <row r="28" spans="1:4" ht="15.6" x14ac:dyDescent="0.3">
      <c r="A28" s="6" t="s">
        <v>74</v>
      </c>
      <c r="B28" s="6">
        <v>72</v>
      </c>
      <c r="C28" s="6">
        <v>1</v>
      </c>
      <c r="D28" s="7">
        <f t="shared" si="0"/>
        <v>72</v>
      </c>
    </row>
    <row r="29" spans="1:4" ht="15.6" x14ac:dyDescent="0.3">
      <c r="A29" s="6" t="s">
        <v>52</v>
      </c>
      <c r="B29" s="6"/>
      <c r="C29" s="6"/>
      <c r="D29" s="7">
        <f t="shared" si="0"/>
        <v>0</v>
      </c>
    </row>
    <row r="30" spans="1:4" ht="15.6" x14ac:dyDescent="0.3">
      <c r="A30" s="6" t="s">
        <v>75</v>
      </c>
      <c r="B30" s="6"/>
      <c r="C30" s="6"/>
      <c r="D30" s="7">
        <f t="shared" si="0"/>
        <v>0</v>
      </c>
    </row>
    <row r="31" spans="1:4" ht="15.6" x14ac:dyDescent="0.3">
      <c r="A31" s="6" t="s">
        <v>85</v>
      </c>
      <c r="B31" s="6">
        <v>4</v>
      </c>
      <c r="C31" s="6">
        <v>1</v>
      </c>
      <c r="D31" s="7">
        <f t="shared" si="0"/>
        <v>4</v>
      </c>
    </row>
    <row r="32" spans="1:4" ht="15.6" x14ac:dyDescent="0.3">
      <c r="A32" s="6" t="s">
        <v>53</v>
      </c>
      <c r="B32" s="6"/>
      <c r="C32" s="6"/>
      <c r="D32" s="7">
        <f t="shared" si="0"/>
        <v>0</v>
      </c>
    </row>
    <row r="33" spans="1:5" ht="15.6" x14ac:dyDescent="0.3">
      <c r="A33" s="6" t="s">
        <v>19</v>
      </c>
      <c r="B33" s="6">
        <v>1</v>
      </c>
      <c r="C33" s="6">
        <v>200</v>
      </c>
      <c r="D33" s="7">
        <f t="shared" si="0"/>
        <v>200</v>
      </c>
    </row>
    <row r="34" spans="1:5" ht="15.6" x14ac:dyDescent="0.3">
      <c r="A34" s="6" t="s">
        <v>54</v>
      </c>
      <c r="B34" s="6"/>
      <c r="C34" s="6"/>
      <c r="D34" s="7">
        <f t="shared" si="0"/>
        <v>0</v>
      </c>
    </row>
    <row r="35" spans="1:5" ht="15.6" x14ac:dyDescent="0.3">
      <c r="A35" s="6" t="s">
        <v>13</v>
      </c>
      <c r="B35" s="6">
        <v>12</v>
      </c>
      <c r="C35" s="6">
        <v>1</v>
      </c>
      <c r="D35" s="7">
        <f t="shared" si="0"/>
        <v>12</v>
      </c>
    </row>
    <row r="36" spans="1:5" ht="15.6" x14ac:dyDescent="0.3">
      <c r="A36" s="6" t="s">
        <v>55</v>
      </c>
      <c r="B36" s="6"/>
      <c r="C36" s="6"/>
      <c r="D36" s="7">
        <f t="shared" si="0"/>
        <v>0</v>
      </c>
    </row>
    <row r="37" spans="1:5" ht="15.6" x14ac:dyDescent="0.3">
      <c r="A37" s="6" t="s">
        <v>76</v>
      </c>
      <c r="B37" s="6">
        <v>4</v>
      </c>
      <c r="C37" s="6">
        <v>1</v>
      </c>
      <c r="D37" s="7">
        <f t="shared" si="0"/>
        <v>4</v>
      </c>
      <c r="E37">
        <f>B37+B35</f>
        <v>16</v>
      </c>
    </row>
    <row r="38" spans="1:5" ht="15.6" x14ac:dyDescent="0.3">
      <c r="A38" s="6" t="s">
        <v>56</v>
      </c>
      <c r="B38" s="6"/>
      <c r="C38" s="6"/>
      <c r="D38" s="7">
        <f t="shared" si="0"/>
        <v>0</v>
      </c>
    </row>
    <row r="39" spans="1:5" ht="15.6" x14ac:dyDescent="0.3">
      <c r="A39" s="6" t="s">
        <v>57</v>
      </c>
      <c r="B39" s="6"/>
      <c r="C39" s="6"/>
      <c r="D39" s="7">
        <f t="shared" si="0"/>
        <v>0</v>
      </c>
    </row>
    <row r="40" spans="1:5" ht="15.6" x14ac:dyDescent="0.3">
      <c r="A40" s="6" t="s">
        <v>37</v>
      </c>
      <c r="B40" s="6">
        <v>1</v>
      </c>
      <c r="C40" s="6">
        <v>300</v>
      </c>
      <c r="D40" s="7">
        <f t="shared" si="0"/>
        <v>300</v>
      </c>
    </row>
    <row r="41" spans="1:5" ht="15.6" x14ac:dyDescent="0.3">
      <c r="A41" s="6" t="s">
        <v>58</v>
      </c>
      <c r="B41" s="6"/>
      <c r="C41" s="6"/>
      <c r="D41" s="7">
        <f t="shared" si="0"/>
        <v>0</v>
      </c>
    </row>
    <row r="42" spans="1:5" ht="15.6" x14ac:dyDescent="0.3">
      <c r="A42" s="6" t="s">
        <v>77</v>
      </c>
      <c r="B42" s="6">
        <v>96</v>
      </c>
      <c r="C42" s="6">
        <v>1</v>
      </c>
      <c r="D42" s="7">
        <f t="shared" si="0"/>
        <v>96</v>
      </c>
    </row>
    <row r="43" spans="1:5" ht="15.6" x14ac:dyDescent="0.3">
      <c r="A43" s="6" t="s">
        <v>78</v>
      </c>
      <c r="B43" s="6">
        <v>7</v>
      </c>
      <c r="C43" s="6">
        <v>15</v>
      </c>
      <c r="D43" s="7">
        <f t="shared" si="0"/>
        <v>105</v>
      </c>
    </row>
    <row r="44" spans="1:5" ht="15.6" x14ac:dyDescent="0.3">
      <c r="A44" s="6" t="s">
        <v>22</v>
      </c>
      <c r="B44" s="6">
        <v>1</v>
      </c>
      <c r="C44" s="6">
        <v>300</v>
      </c>
      <c r="D44" s="7">
        <f t="shared" si="0"/>
        <v>300</v>
      </c>
    </row>
    <row r="45" spans="1:5" ht="15.6" x14ac:dyDescent="0.3">
      <c r="A45" s="6" t="s">
        <v>59</v>
      </c>
      <c r="B45" s="6"/>
      <c r="C45" s="6"/>
      <c r="D45" s="7">
        <f t="shared" si="0"/>
        <v>0</v>
      </c>
    </row>
    <row r="46" spans="1:5" ht="15.6" x14ac:dyDescent="0.3">
      <c r="A46" s="6" t="s">
        <v>12</v>
      </c>
      <c r="B46" s="6">
        <v>61</v>
      </c>
      <c r="C46" s="6">
        <v>300</v>
      </c>
      <c r="D46" s="7">
        <f t="shared" si="0"/>
        <v>18300</v>
      </c>
    </row>
    <row r="47" spans="1:5" ht="15.6" x14ac:dyDescent="0.3">
      <c r="A47" s="6" t="s">
        <v>28</v>
      </c>
      <c r="B47" s="6">
        <v>1</v>
      </c>
      <c r="C47" s="6">
        <v>200</v>
      </c>
      <c r="D47" s="7">
        <f t="shared" si="0"/>
        <v>200</v>
      </c>
    </row>
    <row r="48" spans="1:5" ht="15.6" x14ac:dyDescent="0.3">
      <c r="A48" s="6" t="s">
        <v>69</v>
      </c>
      <c r="B48" s="6">
        <v>32</v>
      </c>
      <c r="C48" s="6">
        <v>1</v>
      </c>
      <c r="D48" s="7">
        <f t="shared" si="0"/>
        <v>32</v>
      </c>
    </row>
    <row r="49" spans="1:4" ht="15.6" x14ac:dyDescent="0.3">
      <c r="A49" s="6" t="s">
        <v>60</v>
      </c>
      <c r="B49" s="6"/>
      <c r="C49" s="6"/>
      <c r="D49" s="7">
        <f t="shared" si="0"/>
        <v>0</v>
      </c>
    </row>
    <row r="50" spans="1:4" ht="15.6" x14ac:dyDescent="0.3">
      <c r="A50" s="6" t="s">
        <v>79</v>
      </c>
      <c r="B50" s="6">
        <v>2</v>
      </c>
      <c r="C50" s="6">
        <v>200</v>
      </c>
      <c r="D50" s="7">
        <f t="shared" si="0"/>
        <v>400</v>
      </c>
    </row>
    <row r="51" spans="1:4" ht="15.6" x14ac:dyDescent="0.3">
      <c r="A51" s="6" t="s">
        <v>30</v>
      </c>
      <c r="B51" s="6">
        <v>3</v>
      </c>
      <c r="C51" s="6">
        <v>200</v>
      </c>
      <c r="D51" s="7">
        <f t="shared" si="0"/>
        <v>600</v>
      </c>
    </row>
    <row r="52" spans="1:4" ht="15.6" x14ac:dyDescent="0.3">
      <c r="A52" s="6" t="s">
        <v>61</v>
      </c>
      <c r="B52" s="6"/>
      <c r="C52" s="6"/>
      <c r="D52" s="7">
        <f t="shared" si="0"/>
        <v>0</v>
      </c>
    </row>
    <row r="53" spans="1:4" ht="15.6" x14ac:dyDescent="0.3">
      <c r="A53" s="6" t="s">
        <v>62</v>
      </c>
      <c r="B53" s="6"/>
      <c r="C53" s="6"/>
      <c r="D53" s="7">
        <f t="shared" si="0"/>
        <v>0</v>
      </c>
    </row>
    <row r="54" spans="1:4" ht="15.6" x14ac:dyDescent="0.3">
      <c r="A54" s="6" t="s">
        <v>92</v>
      </c>
      <c r="B54" s="6"/>
      <c r="C54" s="6"/>
      <c r="D54" s="7">
        <f t="shared" si="0"/>
        <v>0</v>
      </c>
    </row>
    <row r="55" spans="1:4" ht="15.6" x14ac:dyDescent="0.3">
      <c r="A55" s="6" t="s">
        <v>86</v>
      </c>
      <c r="B55" s="6">
        <v>1</v>
      </c>
      <c r="C55" s="6">
        <v>15</v>
      </c>
      <c r="D55" s="7">
        <f t="shared" si="0"/>
        <v>15</v>
      </c>
    </row>
    <row r="56" spans="1:4" ht="15.6" x14ac:dyDescent="0.3">
      <c r="A56" s="6" t="s">
        <v>93</v>
      </c>
      <c r="D56" s="7">
        <f t="shared" si="0"/>
        <v>0</v>
      </c>
    </row>
    <row r="57" spans="1:4" ht="15.6" x14ac:dyDescent="0.3">
      <c r="A57" s="6" t="s">
        <v>87</v>
      </c>
      <c r="B57" s="6">
        <v>1</v>
      </c>
      <c r="C57" s="6">
        <v>6</v>
      </c>
      <c r="D57" s="7">
        <f t="shared" si="0"/>
        <v>6</v>
      </c>
    </row>
    <row r="58" spans="1:4" ht="15.6" x14ac:dyDescent="0.3">
      <c r="A58" s="6" t="s">
        <v>88</v>
      </c>
      <c r="B58" s="6">
        <v>2</v>
      </c>
      <c r="C58" s="6">
        <v>1</v>
      </c>
      <c r="D58" s="7">
        <f t="shared" si="0"/>
        <v>2</v>
      </c>
    </row>
    <row r="59" spans="1:4" ht="15.6" x14ac:dyDescent="0.3">
      <c r="A59" s="6" t="s">
        <v>89</v>
      </c>
      <c r="B59" s="6">
        <v>1</v>
      </c>
      <c r="C59" s="6">
        <v>1</v>
      </c>
      <c r="D59" s="7">
        <f t="shared" si="0"/>
        <v>1</v>
      </c>
    </row>
    <row r="60" spans="1:4" ht="15.6" x14ac:dyDescent="0.3">
      <c r="A60" s="6" t="s">
        <v>83</v>
      </c>
      <c r="B60" s="6"/>
      <c r="C60" s="6"/>
      <c r="D60" s="7">
        <f t="shared" si="0"/>
        <v>0</v>
      </c>
    </row>
    <row r="61" spans="1:4" ht="15.6" x14ac:dyDescent="0.3">
      <c r="A61" s="6" t="s">
        <v>80</v>
      </c>
      <c r="B61" s="6">
        <v>2</v>
      </c>
      <c r="C61" s="6">
        <v>1</v>
      </c>
      <c r="D61" s="7">
        <f t="shared" si="0"/>
        <v>2</v>
      </c>
    </row>
    <row r="62" spans="1:4" ht="15.6" x14ac:dyDescent="0.3">
      <c r="A62" s="6" t="s">
        <v>32</v>
      </c>
      <c r="B62" s="6">
        <v>9</v>
      </c>
      <c r="C62" s="6">
        <v>200</v>
      </c>
      <c r="D62" s="7">
        <f t="shared" si="0"/>
        <v>1800</v>
      </c>
    </row>
    <row r="63" spans="1:4" ht="15.6" x14ac:dyDescent="0.3">
      <c r="A63" s="6" t="s">
        <v>81</v>
      </c>
      <c r="B63" s="6"/>
      <c r="C63" s="6"/>
      <c r="D63" s="7">
        <f t="shared" si="0"/>
        <v>0</v>
      </c>
    </row>
    <row r="64" spans="1:4" ht="15.6" x14ac:dyDescent="0.3">
      <c r="A64" s="6" t="s">
        <v>24</v>
      </c>
      <c r="B64" s="6">
        <v>6</v>
      </c>
      <c r="C64" s="6">
        <v>1</v>
      </c>
      <c r="D64" s="7">
        <f t="shared" si="0"/>
        <v>6</v>
      </c>
    </row>
    <row r="65" spans="1:4" ht="15.6" x14ac:dyDescent="0.3">
      <c r="A65" s="6" t="s">
        <v>63</v>
      </c>
      <c r="B65" s="6"/>
      <c r="C65" s="6"/>
      <c r="D65" s="7">
        <f t="shared" si="0"/>
        <v>0</v>
      </c>
    </row>
    <row r="66" spans="1:4" ht="15.6" x14ac:dyDescent="0.3">
      <c r="A66" s="6" t="s">
        <v>64</v>
      </c>
      <c r="B66" s="6"/>
      <c r="C66" s="6"/>
      <c r="D66" s="7">
        <f t="shared" si="0"/>
        <v>0</v>
      </c>
    </row>
    <row r="67" spans="1:4" ht="15.6" x14ac:dyDescent="0.3">
      <c r="A67" s="6" t="s">
        <v>65</v>
      </c>
      <c r="B67" s="6"/>
      <c r="C67" s="6"/>
      <c r="D67" s="7">
        <f t="shared" ref="D67:D70" si="1">C67*B67</f>
        <v>0</v>
      </c>
    </row>
    <row r="68" spans="1:4" ht="15.6" x14ac:dyDescent="0.3">
      <c r="A68" s="6" t="s">
        <v>82</v>
      </c>
      <c r="B68" s="6"/>
      <c r="C68" s="6"/>
      <c r="D68" s="7">
        <f t="shared" si="1"/>
        <v>0</v>
      </c>
    </row>
    <row r="69" spans="1:4" ht="15.6" x14ac:dyDescent="0.3">
      <c r="A69" s="6" t="s">
        <v>66</v>
      </c>
      <c r="B69" s="6"/>
      <c r="C69" s="6"/>
      <c r="D69" s="7">
        <f t="shared" si="1"/>
        <v>0</v>
      </c>
    </row>
    <row r="70" spans="1:4" ht="15.6" x14ac:dyDescent="0.3">
      <c r="A70" s="6" t="s">
        <v>67</v>
      </c>
      <c r="B70" s="6"/>
      <c r="C70" s="6"/>
      <c r="D70" s="7">
        <f t="shared" si="1"/>
        <v>0</v>
      </c>
    </row>
    <row r="72" spans="1:4" x14ac:dyDescent="0.3">
      <c r="B72">
        <f>SUM(B2:B71)</f>
        <v>507</v>
      </c>
      <c r="D72" s="12">
        <f>SUM(D2:D71)</f>
        <v>49082</v>
      </c>
    </row>
  </sheetData>
  <sortState xmlns:xlrd2="http://schemas.microsoft.com/office/spreadsheetml/2017/richdata2" ref="A2:C70">
    <sortCondition ref="A2:A70"/>
  </sortState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75FA6-859A-4010-B557-014CEB761254}">
  <sheetPr codeName="Planilha4"/>
  <dimension ref="A1:C88"/>
  <sheetViews>
    <sheetView topLeftCell="A79" workbookViewId="0">
      <selection activeCell="E15" sqref="E15"/>
    </sheetView>
  </sheetViews>
  <sheetFormatPr defaultRowHeight="14.4" x14ac:dyDescent="0.3"/>
  <cols>
    <col min="1" max="1" width="31.44140625" bestFit="1" customWidth="1"/>
    <col min="2" max="2" width="11.109375" bestFit="1" customWidth="1"/>
  </cols>
  <sheetData>
    <row r="1" spans="1:3" ht="15.6" x14ac:dyDescent="0.3">
      <c r="A1" s="5" t="s">
        <v>39</v>
      </c>
      <c r="B1" s="5" t="s">
        <v>40</v>
      </c>
      <c r="C1" s="5"/>
    </row>
    <row r="2" spans="1:3" ht="15.6" x14ac:dyDescent="0.3">
      <c r="A2" s="10" t="s">
        <v>25</v>
      </c>
      <c r="B2" s="8">
        <f>SUMIF(Lista!A:A,"ABSORVENTE",Lista!B:B)</f>
        <v>5</v>
      </c>
      <c r="C2" s="9"/>
    </row>
    <row r="3" spans="1:3" ht="15.6" x14ac:dyDescent="0.3">
      <c r="A3" s="10" t="s">
        <v>8</v>
      </c>
      <c r="B3" s="8">
        <f>SUMIF(Lista!A:A,"ACHOCOLATADO",Lista!B:B)</f>
        <v>3</v>
      </c>
      <c r="C3" s="9"/>
    </row>
    <row r="4" spans="1:3" ht="15.6" x14ac:dyDescent="0.3">
      <c r="A4" s="10" t="s">
        <v>71</v>
      </c>
      <c r="B4" s="8">
        <f>SUMIF(Lista!A:A,"AÇUCAR",Lista!B:B)</f>
        <v>22</v>
      </c>
      <c r="C4" s="9"/>
    </row>
    <row r="5" spans="1:3" ht="15.6" x14ac:dyDescent="0.3">
      <c r="A5" s="10" t="s">
        <v>68</v>
      </c>
      <c r="B5" s="8">
        <f>SUMIF(Lista!A:A,"AGUA SANITARIA",Lista!B:B)</f>
        <v>2</v>
      </c>
      <c r="C5" s="9"/>
    </row>
    <row r="6" spans="1:3" ht="15.6" x14ac:dyDescent="0.3">
      <c r="A6" s="10" t="s">
        <v>90</v>
      </c>
      <c r="B6" s="8">
        <f>SUMIF(Lista!A:A,"AMIDO DE MILHO",Lista!B:B)</f>
        <v>0</v>
      </c>
      <c r="C6" s="9"/>
    </row>
    <row r="7" spans="1:3" ht="15.6" x14ac:dyDescent="0.3">
      <c r="A7" s="10" t="s">
        <v>42</v>
      </c>
      <c r="B7" s="8">
        <f>SUMIF(Lista!A:A,"AREIA DE GATO",Lista!B:B)</f>
        <v>0</v>
      </c>
      <c r="C7" s="9"/>
    </row>
    <row r="8" spans="1:3" ht="15.6" x14ac:dyDescent="0.3">
      <c r="A8" s="10" t="s">
        <v>15</v>
      </c>
      <c r="B8" s="8">
        <f>SUMIF(Lista!A:A,"ARROZ 1KG",Lista!B:B)</f>
        <v>14</v>
      </c>
      <c r="C8" s="9"/>
    </row>
    <row r="9" spans="1:3" ht="15.6" x14ac:dyDescent="0.3">
      <c r="A9" s="10" t="s">
        <v>70</v>
      </c>
      <c r="B9" s="8">
        <f>SUMIF(Lista!A:A,"ARROZ 2KG",Lista!B:B)</f>
        <v>0</v>
      </c>
      <c r="C9" s="9"/>
    </row>
    <row r="10" spans="1:3" ht="15.6" x14ac:dyDescent="0.3">
      <c r="A10" s="10" t="s">
        <v>9</v>
      </c>
      <c r="B10" s="8">
        <f>SUMIF(Lista!A:A,"ARROZ 5KG",Lista!B:B)</f>
        <v>61</v>
      </c>
      <c r="C10" s="9"/>
    </row>
    <row r="11" spans="1:3" ht="15.6" x14ac:dyDescent="0.3">
      <c r="A11" s="10" t="s">
        <v>10</v>
      </c>
      <c r="B11" s="8">
        <f>SUMIF(Lista!A:A,"BISCOITO",Lista!B:B)</f>
        <v>41</v>
      </c>
      <c r="C11" s="9"/>
    </row>
    <row r="12" spans="1:3" ht="15.6" x14ac:dyDescent="0.3">
      <c r="A12" s="10" t="s">
        <v>43</v>
      </c>
      <c r="B12" s="8">
        <f>SUMIF(Lista!A:A,"BOLINHA",Lista!B:B)</f>
        <v>0</v>
      </c>
      <c r="C12" s="9"/>
    </row>
    <row r="13" spans="1:3" ht="15.6" x14ac:dyDescent="0.3">
      <c r="A13" s="10" t="s">
        <v>84</v>
      </c>
      <c r="B13" s="8">
        <f>SUMIF(Lista!A:A,"CAFE",Lista!B:B)</f>
        <v>30</v>
      </c>
      <c r="C13" s="9"/>
    </row>
    <row r="14" spans="1:3" ht="15.6" x14ac:dyDescent="0.3">
      <c r="A14" s="10" t="s">
        <v>44</v>
      </c>
      <c r="B14" s="8">
        <f>SUMIF(Lista!A:A,"CAIXA DE TRANSPORTE",Lista!B:B)</f>
        <v>0</v>
      </c>
      <c r="C14" s="9"/>
    </row>
    <row r="15" spans="1:3" ht="15.6" x14ac:dyDescent="0.3">
      <c r="A15" s="10" t="s">
        <v>72</v>
      </c>
      <c r="B15" s="8">
        <f>SUMIF(Lista!A:A,"CESTA BASICA",Lista!B:B)</f>
        <v>3</v>
      </c>
      <c r="C15" s="9"/>
    </row>
    <row r="16" spans="1:3" ht="15.6" x14ac:dyDescent="0.3">
      <c r="A16" s="10" t="s">
        <v>73</v>
      </c>
      <c r="B16" s="8">
        <f>SUMIF(Lista!A:A,"CHA",Lista!B:B)</f>
        <v>0</v>
      </c>
      <c r="C16" s="9"/>
    </row>
    <row r="17" spans="1:3" ht="15.6" x14ac:dyDescent="0.3">
      <c r="A17" s="10" t="s">
        <v>45</v>
      </c>
      <c r="B17" s="8">
        <f>SUMIF(Lista!A:A,"CHOCOLATE",Lista!B:B)</f>
        <v>0</v>
      </c>
      <c r="C17" s="9"/>
    </row>
    <row r="18" spans="1:3" ht="15.6" x14ac:dyDescent="0.3">
      <c r="A18" s="10" t="s">
        <v>46</v>
      </c>
      <c r="B18" s="8">
        <f>SUMIF(Lista!A:A,"CONDICIONADOR",Lista!B:B)</f>
        <v>0</v>
      </c>
      <c r="C18" s="9"/>
    </row>
    <row r="19" spans="1:3" ht="15.6" x14ac:dyDescent="0.3">
      <c r="A19" s="10" t="s">
        <v>47</v>
      </c>
      <c r="B19" s="8">
        <f>SUMIF(Lista!A:A,"CREME DE LEITE",Lista!B:B)</f>
        <v>0</v>
      </c>
      <c r="C19" s="9"/>
    </row>
    <row r="20" spans="1:3" ht="15.6" x14ac:dyDescent="0.3">
      <c r="A20" s="10" t="s">
        <v>48</v>
      </c>
      <c r="B20" s="8">
        <f>SUMIF(Lista!A:A,"DESODORANTE",Lista!B:B)</f>
        <v>0</v>
      </c>
      <c r="C20" s="9"/>
    </row>
    <row r="21" spans="1:3" ht="15.6" x14ac:dyDescent="0.3">
      <c r="A21" s="10" t="s">
        <v>27</v>
      </c>
      <c r="B21" s="8">
        <f>SUMIF(Lista!A:A,"DETERGENTE",Lista!B:B)</f>
        <v>4</v>
      </c>
      <c r="C21" s="9"/>
    </row>
    <row r="22" spans="1:3" ht="15.6" x14ac:dyDescent="0.3">
      <c r="A22" s="10" t="s">
        <v>49</v>
      </c>
      <c r="B22" s="8">
        <f>SUMIF(Lista!A:A,"ERVILHA",Lista!B:B)</f>
        <v>0</v>
      </c>
      <c r="C22" s="9"/>
    </row>
    <row r="23" spans="1:3" ht="15.6" x14ac:dyDescent="0.3">
      <c r="A23" s="10" t="s">
        <v>50</v>
      </c>
      <c r="B23" s="8">
        <f>SUMIF(Lista!A:A,"ESCOVA DE DENTE",Lista!B:B)</f>
        <v>0</v>
      </c>
      <c r="C23" s="9"/>
    </row>
    <row r="24" spans="1:3" ht="15.6" x14ac:dyDescent="0.3">
      <c r="A24" s="10" t="s">
        <v>51</v>
      </c>
      <c r="B24" s="8">
        <f>SUMIF(Lista!A:A,"ESPUMA DE BARBEAR",Lista!B:B)</f>
        <v>0</v>
      </c>
      <c r="C24" s="9"/>
    </row>
    <row r="25" spans="1:3" ht="15.6" x14ac:dyDescent="0.3">
      <c r="A25" s="10" t="s">
        <v>14</v>
      </c>
      <c r="B25" s="8">
        <f>SUMIF(Lista!A:A,"FARINHA DE MANDIOCA",Lista!B:B)</f>
        <v>1</v>
      </c>
      <c r="C25" s="9"/>
    </row>
    <row r="26" spans="1:3" ht="15.6" x14ac:dyDescent="0.3">
      <c r="A26" s="10" t="s">
        <v>17</v>
      </c>
      <c r="B26" s="8">
        <f>SUMIF(Lista!A:A,"FARINHA DE TRIGO",Lista!B:B)</f>
        <v>2</v>
      </c>
      <c r="C26" s="9"/>
    </row>
    <row r="27" spans="1:3" ht="15.6" x14ac:dyDescent="0.3">
      <c r="A27" s="10" t="s">
        <v>91</v>
      </c>
      <c r="B27" s="8">
        <f>SUMIF(Lista!A:A,"FAROFA",Lista!B:B)</f>
        <v>0</v>
      </c>
      <c r="C27" s="9"/>
    </row>
    <row r="28" spans="1:3" ht="15.6" x14ac:dyDescent="0.3">
      <c r="A28" s="10" t="s">
        <v>74</v>
      </c>
      <c r="B28" s="8">
        <f>SUMIF(Lista!A:A,"FEIJAO",Lista!B:B)</f>
        <v>72</v>
      </c>
      <c r="C28" s="9"/>
    </row>
    <row r="29" spans="1:3" ht="15.6" x14ac:dyDescent="0.3">
      <c r="A29" s="10" t="s">
        <v>52</v>
      </c>
      <c r="B29" s="8">
        <f>SUMIF(Lista!A:A,"FLOCOS DE AVEIA",Lista!B:B)</f>
        <v>0</v>
      </c>
      <c r="C29" s="9"/>
    </row>
    <row r="30" spans="1:3" ht="15.6" x14ac:dyDescent="0.3">
      <c r="A30" s="10" t="s">
        <v>75</v>
      </c>
      <c r="B30" s="8">
        <f>SUMIF(Lista!A:A,"FRALDA GERIATRICA",Lista!B:B)</f>
        <v>0</v>
      </c>
      <c r="C30" s="9"/>
    </row>
    <row r="31" spans="1:3" ht="15.6" x14ac:dyDescent="0.3">
      <c r="A31" s="10" t="s">
        <v>85</v>
      </c>
      <c r="B31" s="8">
        <f>SUMIF(Lista!A:A,"FUBA",Lista!B:B)</f>
        <v>4</v>
      </c>
      <c r="C31" s="9"/>
    </row>
    <row r="32" spans="1:3" ht="15.6" x14ac:dyDescent="0.3">
      <c r="A32" s="10" t="s">
        <v>53</v>
      </c>
      <c r="B32" s="8">
        <f>SUMIF(Lista!A:A,"GELATINA",Lista!B:B)</f>
        <v>0</v>
      </c>
      <c r="C32" s="9"/>
    </row>
    <row r="33" spans="1:3" ht="15.6" x14ac:dyDescent="0.3">
      <c r="A33" s="10" t="s">
        <v>19</v>
      </c>
      <c r="B33" s="8">
        <f>SUMIF(Lista!A:A,"GOIABADA",Lista!B:B)</f>
        <v>1</v>
      </c>
      <c r="C33" s="9"/>
    </row>
    <row r="34" spans="1:3" x14ac:dyDescent="0.3">
      <c r="A34" s="10" t="s">
        <v>54</v>
      </c>
      <c r="B34" s="8">
        <f>SUMIF(Lista!A:A,"JORNAL",Lista!B:B)</f>
        <v>0</v>
      </c>
      <c r="C34" s="9"/>
    </row>
    <row r="35" spans="1:3" ht="15.6" x14ac:dyDescent="0.3">
      <c r="A35" s="10" t="s">
        <v>13</v>
      </c>
      <c r="B35" s="8">
        <f>SUMIF(Lista!A:A,"LEITE",Lista!B:B)</f>
        <v>12</v>
      </c>
      <c r="C35" s="9"/>
    </row>
    <row r="36" spans="1:3" ht="15.6" x14ac:dyDescent="0.3">
      <c r="A36" s="10" t="s">
        <v>55</v>
      </c>
      <c r="B36" s="8">
        <f>SUMIF(Lista!A:A,"LEITE CONDENSADO",Lista!B:B)</f>
        <v>0</v>
      </c>
      <c r="C36" s="9"/>
    </row>
    <row r="37" spans="1:3" ht="15.6" x14ac:dyDescent="0.3">
      <c r="A37" s="10" t="s">
        <v>76</v>
      </c>
      <c r="B37" s="8">
        <f>SUMIF(Lista!A:A,"LEITE EM PO",Lista!B:B)</f>
        <v>4</v>
      </c>
      <c r="C37" s="9"/>
    </row>
    <row r="38" spans="1:3" ht="15.6" x14ac:dyDescent="0.3">
      <c r="A38" s="10" t="s">
        <v>56</v>
      </c>
      <c r="B38" s="8">
        <f>SUMIF(Lista!A:A,"LENÇO",Lista!B:B)</f>
        <v>0</v>
      </c>
      <c r="C38" s="9"/>
    </row>
    <row r="39" spans="1:3" ht="15.6" x14ac:dyDescent="0.3">
      <c r="A39" s="10" t="s">
        <v>57</v>
      </c>
      <c r="B39" s="8">
        <f>SUMIF(Lista!A:A,"LENTILHA",Lista!B:B)</f>
        <v>0</v>
      </c>
      <c r="C39" s="9"/>
    </row>
    <row r="40" spans="1:3" ht="15.6" x14ac:dyDescent="0.3">
      <c r="A40" s="10" t="s">
        <v>37</v>
      </c>
      <c r="B40" s="8">
        <f>SUMIF(Lista!A:A,"LINGUIÇA DEFUMADA",Lista!B:B)</f>
        <v>1</v>
      </c>
      <c r="C40" s="9"/>
    </row>
    <row r="41" spans="1:3" ht="15.6" x14ac:dyDescent="0.3">
      <c r="A41" s="10" t="s">
        <v>58</v>
      </c>
      <c r="B41" s="8">
        <f>SUMIF(Lista!A:A,"LUVA",Lista!B:B)</f>
        <v>0</v>
      </c>
      <c r="C41" s="9"/>
    </row>
    <row r="42" spans="1:3" ht="15.6" x14ac:dyDescent="0.3">
      <c r="A42" s="10" t="s">
        <v>77</v>
      </c>
      <c r="B42" s="8">
        <f>SUMIF(Lista!A:A,"MACARRAO",Lista!B:B)</f>
        <v>96</v>
      </c>
      <c r="C42" s="9"/>
    </row>
    <row r="43" spans="1:3" ht="15.6" x14ac:dyDescent="0.3">
      <c r="A43" s="10" t="s">
        <v>78</v>
      </c>
      <c r="B43" s="8">
        <f>SUMIF(Lista!A:A,"MACARRAO INTEGRAL SELMI",Lista!B:B)</f>
        <v>7</v>
      </c>
      <c r="C43" s="9"/>
    </row>
    <row r="44" spans="1:3" ht="15.6" x14ac:dyDescent="0.3">
      <c r="A44" s="10" t="s">
        <v>22</v>
      </c>
      <c r="B44" s="8">
        <f>SUMIF(Lista!A:A,"MAIONESE",Lista!B:B)</f>
        <v>1</v>
      </c>
      <c r="C44" s="9"/>
    </row>
    <row r="45" spans="1:3" ht="15.6" x14ac:dyDescent="0.3">
      <c r="A45" s="10" t="s">
        <v>59</v>
      </c>
      <c r="B45" s="8">
        <f>SUMIF(Lista!A:A,"MILHO",Lista!B:B)</f>
        <v>0</v>
      </c>
      <c r="C45" s="9"/>
    </row>
    <row r="46" spans="1:3" ht="15.6" x14ac:dyDescent="0.3">
      <c r="A46" s="10" t="s">
        <v>12</v>
      </c>
      <c r="B46" s="8">
        <f>SUMIF(Lista!A:A,"MOLHO DE TOMATE",Lista!B:B)</f>
        <v>61</v>
      </c>
      <c r="C46" s="9"/>
    </row>
    <row r="47" spans="1:3" ht="15.6" x14ac:dyDescent="0.3">
      <c r="A47" s="10" t="s">
        <v>28</v>
      </c>
      <c r="B47" s="8">
        <f>SUMIF(Lista!A:A,"MULTIUSO",Lista!B:B)</f>
        <v>1</v>
      </c>
      <c r="C47" s="9"/>
    </row>
    <row r="48" spans="1:3" ht="15.6" x14ac:dyDescent="0.3">
      <c r="A48" s="10" t="s">
        <v>69</v>
      </c>
      <c r="B48" s="8">
        <f>SUMIF(Lista!A:A,"OLEO",Lista!B:B)</f>
        <v>32</v>
      </c>
      <c r="C48" s="9"/>
    </row>
    <row r="49" spans="1:3" ht="15.6" x14ac:dyDescent="0.3">
      <c r="A49" s="10" t="s">
        <v>60</v>
      </c>
      <c r="B49" s="8">
        <f>SUMIF(Lista!A:A,"PANETONE",Lista!B:B)</f>
        <v>0</v>
      </c>
      <c r="C49" s="9"/>
    </row>
    <row r="50" spans="1:3" ht="15.6" x14ac:dyDescent="0.3">
      <c r="A50" s="10" t="s">
        <v>79</v>
      </c>
      <c r="B50" s="8">
        <f>SUMIF(Lista!A:A,"PAPEL HIGIENICO",Lista!B:B)</f>
        <v>2</v>
      </c>
      <c r="C50" s="9"/>
    </row>
    <row r="51" spans="1:3" ht="15.6" x14ac:dyDescent="0.3">
      <c r="A51" s="10" t="s">
        <v>30</v>
      </c>
      <c r="B51" s="8">
        <f>SUMIF(Lista!A:A,"PASTA DE DENTE",Lista!B:B)</f>
        <v>3</v>
      </c>
      <c r="C51" s="9"/>
    </row>
    <row r="52" spans="1:3" ht="15.6" x14ac:dyDescent="0.3">
      <c r="A52" s="10" t="s">
        <v>61</v>
      </c>
      <c r="B52" s="8">
        <f>SUMIF(Lista!A:A,"PIPOCA",Lista!B:B)</f>
        <v>0</v>
      </c>
      <c r="C52" s="9"/>
    </row>
    <row r="53" spans="1:3" ht="15.6" x14ac:dyDescent="0.3">
      <c r="A53" s="10" t="s">
        <v>62</v>
      </c>
      <c r="B53" s="8">
        <f>SUMIF(Lista!A:A,"QUEIJO RALADO",Lista!B:B)</f>
        <v>0</v>
      </c>
      <c r="C53" s="9"/>
    </row>
    <row r="54" spans="1:3" ht="15.6" x14ac:dyDescent="0.3">
      <c r="A54" s="10" t="s">
        <v>92</v>
      </c>
      <c r="B54" s="8">
        <f>SUMIF(Lista!A:A,"RAÇAO DE CACHORRO 10KG",Lista!B:B)</f>
        <v>0</v>
      </c>
      <c r="C54" s="9"/>
    </row>
    <row r="55" spans="1:3" ht="15.6" x14ac:dyDescent="0.3">
      <c r="A55" s="10" t="s">
        <v>86</v>
      </c>
      <c r="B55" s="8">
        <f>SUMIF(Lista!A:A,"RAÇAO DE CACHORRO 15KG",Lista!B:B)</f>
        <v>1</v>
      </c>
      <c r="C55" s="9"/>
    </row>
    <row r="56" spans="1:3" ht="15.6" x14ac:dyDescent="0.3">
      <c r="A56" s="10" t="s">
        <v>93</v>
      </c>
      <c r="B56" s="8">
        <f>SUMIF(Lista!A:A,"RAÇAO DE CACHORRO 1KG",Lista!B:B)</f>
        <v>0</v>
      </c>
      <c r="C56" s="9"/>
    </row>
    <row r="57" spans="1:3" ht="15.6" x14ac:dyDescent="0.3">
      <c r="A57" s="10" t="s">
        <v>87</v>
      </c>
      <c r="B57" s="8">
        <f>SUMIF(Lista!A:A,"RAÇAO DE CACHORRO 6KG",Lista!B:B)</f>
        <v>1</v>
      </c>
      <c r="C57" s="9"/>
    </row>
    <row r="58" spans="1:3" ht="15.6" x14ac:dyDescent="0.3">
      <c r="A58" s="10" t="s">
        <v>88</v>
      </c>
      <c r="B58" s="8">
        <f>SUMIF(Lista!A:A,"RAÇAO DE GATO 1KG",Lista!B:B)</f>
        <v>2</v>
      </c>
      <c r="C58" s="9"/>
    </row>
    <row r="59" spans="1:3" ht="15.6" x14ac:dyDescent="0.3">
      <c r="A59" s="10" t="s">
        <v>89</v>
      </c>
      <c r="B59" s="8">
        <f>SUMIF(Lista!A:A,"RAÇAO DE GATO 3KG",Lista!B:B)</f>
        <v>1</v>
      </c>
      <c r="C59" s="9"/>
    </row>
    <row r="60" spans="1:3" ht="15.6" x14ac:dyDescent="0.3">
      <c r="A60" s="10" t="s">
        <v>83</v>
      </c>
      <c r="B60" s="8">
        <f>SUMIF(Lista!A:A,"SABAO EM BARRA",Lista!B:B)</f>
        <v>0</v>
      </c>
      <c r="C60" s="9"/>
    </row>
    <row r="61" spans="1:3" ht="15.6" x14ac:dyDescent="0.3">
      <c r="A61" s="10" t="s">
        <v>80</v>
      </c>
      <c r="B61" s="8">
        <f>SUMIF(Lista!A:A,"SABAO EM PO",Lista!B:B)</f>
        <v>2</v>
      </c>
      <c r="C61" s="9"/>
    </row>
    <row r="62" spans="1:3" ht="15.6" x14ac:dyDescent="0.3">
      <c r="A62" s="10" t="s">
        <v>32</v>
      </c>
      <c r="B62" s="8">
        <f>SUMIF(Lista!A:A,"SABONETE",Lista!B:B)</f>
        <v>9</v>
      </c>
      <c r="C62" s="9"/>
    </row>
    <row r="63" spans="1:3" ht="15.6" x14ac:dyDescent="0.3">
      <c r="A63" s="10" t="s">
        <v>81</v>
      </c>
      <c r="B63" s="8">
        <f>SUMIF(Lista!A:A,"SACHE",Lista!B:B)</f>
        <v>0</v>
      </c>
      <c r="C63" s="9"/>
    </row>
    <row r="64" spans="1:3" ht="15.6" x14ac:dyDescent="0.3">
      <c r="A64" s="10" t="s">
        <v>24</v>
      </c>
      <c r="B64" s="8">
        <f>SUMIF(Lista!A:A,"SAL",Lista!B:B)</f>
        <v>6</v>
      </c>
      <c r="C64" s="9"/>
    </row>
    <row r="65" spans="1:3" ht="15.6" x14ac:dyDescent="0.3">
      <c r="A65" s="10" t="s">
        <v>63</v>
      </c>
      <c r="B65" s="8">
        <f>SUMIF(Lista!A:A,"SARDINHA",Lista!B:B)</f>
        <v>0</v>
      </c>
      <c r="C65" s="9"/>
    </row>
    <row r="66" spans="1:3" ht="15.6" x14ac:dyDescent="0.3">
      <c r="A66" s="10" t="s">
        <v>64</v>
      </c>
      <c r="B66" s="8">
        <f>SUMIF(Lista!A:A,"SELETA DE LEGUMES",Lista!B:B)</f>
        <v>0</v>
      </c>
      <c r="C66" s="9"/>
    </row>
    <row r="67" spans="1:3" ht="15.6" x14ac:dyDescent="0.3">
      <c r="A67" s="10" t="s">
        <v>65</v>
      </c>
      <c r="B67" s="8">
        <f>SUMIF(Lista!A:A,"SHAMPOO",Lista!B:B)</f>
        <v>0</v>
      </c>
      <c r="C67" s="9"/>
    </row>
    <row r="68" spans="1:3" ht="15.6" x14ac:dyDescent="0.3">
      <c r="A68" s="10" t="s">
        <v>82</v>
      </c>
      <c r="B68" s="8">
        <f>SUMIF(Lista!A:A,"SOPAO",Lista!B:B)</f>
        <v>0</v>
      </c>
      <c r="C68" s="9"/>
    </row>
    <row r="69" spans="1:3" ht="15.6" x14ac:dyDescent="0.3">
      <c r="A69" s="10" t="s">
        <v>66</v>
      </c>
      <c r="B69" s="8">
        <f>SUMIF(Lista!A:A,"SUCO",Lista!B:B)</f>
        <v>0</v>
      </c>
      <c r="C69" s="9"/>
    </row>
    <row r="70" spans="1:3" ht="15.6" x14ac:dyDescent="0.3">
      <c r="A70" s="11" t="s">
        <v>67</v>
      </c>
      <c r="B70" s="8">
        <f>SUMIF(Lista!A:A,"TEMPERO",Lista!B:B)</f>
        <v>0</v>
      </c>
      <c r="C70" s="9"/>
    </row>
    <row r="71" spans="1:3" ht="15.6" x14ac:dyDescent="0.3">
      <c r="A71" s="10"/>
      <c r="B71" s="8"/>
      <c r="C71" s="9"/>
    </row>
    <row r="72" spans="1:3" ht="15.6" x14ac:dyDescent="0.3">
      <c r="A72" s="10"/>
      <c r="B72" s="8"/>
      <c r="C72" s="9"/>
    </row>
    <row r="73" spans="1:3" ht="15.6" x14ac:dyDescent="0.3">
      <c r="A73" s="10"/>
      <c r="B73" s="8"/>
      <c r="C73" s="9"/>
    </row>
    <row r="74" spans="1:3" ht="15.6" x14ac:dyDescent="0.3">
      <c r="A74" s="10"/>
      <c r="B74" s="8"/>
      <c r="C74" s="9"/>
    </row>
    <row r="75" spans="1:3" ht="15.6" x14ac:dyDescent="0.3">
      <c r="A75" s="10"/>
      <c r="B75" s="8"/>
      <c r="C75" s="9"/>
    </row>
    <row r="76" spans="1:3" ht="15.6" x14ac:dyDescent="0.3">
      <c r="A76" s="10"/>
      <c r="B76" s="8"/>
      <c r="C76" s="9"/>
    </row>
    <row r="77" spans="1:3" ht="15.6" x14ac:dyDescent="0.3">
      <c r="A77" s="10"/>
      <c r="B77" s="8"/>
      <c r="C77" s="9"/>
    </row>
    <row r="78" spans="1:3" ht="15.6" x14ac:dyDescent="0.3">
      <c r="A78" s="10"/>
      <c r="B78" s="8"/>
      <c r="C78" s="9"/>
    </row>
    <row r="79" spans="1:3" ht="15.6" x14ac:dyDescent="0.3">
      <c r="A79" s="10"/>
      <c r="B79" s="8"/>
      <c r="C79" s="9"/>
    </row>
    <row r="80" spans="1:3" ht="15.6" x14ac:dyDescent="0.3">
      <c r="A80" s="10"/>
      <c r="B80" s="8"/>
      <c r="C80" s="9"/>
    </row>
    <row r="81" spans="1:3" ht="15.6" x14ac:dyDescent="0.3">
      <c r="A81" s="10"/>
      <c r="B81" s="8"/>
      <c r="C81" s="9"/>
    </row>
    <row r="82" spans="1:3" ht="15.6" x14ac:dyDescent="0.3">
      <c r="A82" s="10"/>
      <c r="B82" s="8"/>
      <c r="C82" s="9"/>
    </row>
    <row r="83" spans="1:3" ht="15.6" x14ac:dyDescent="0.3">
      <c r="A83" s="10"/>
      <c r="B83" s="8"/>
      <c r="C83" s="9"/>
    </row>
    <row r="84" spans="1:3" ht="15.6" x14ac:dyDescent="0.3">
      <c r="A84" s="10"/>
      <c r="B84" s="8"/>
      <c r="C84" s="9"/>
    </row>
    <row r="85" spans="1:3" ht="15.6" x14ac:dyDescent="0.3">
      <c r="A85" s="10"/>
      <c r="B85" s="8"/>
      <c r="C85" s="9"/>
    </row>
    <row r="86" spans="1:3" ht="15.6" x14ac:dyDescent="0.3">
      <c r="A86" s="10"/>
      <c r="B86" s="8"/>
      <c r="C86" s="9"/>
    </row>
    <row r="87" spans="1:3" ht="15.6" x14ac:dyDescent="0.3">
      <c r="A87" s="10"/>
      <c r="B87" s="8"/>
      <c r="C87" s="9"/>
    </row>
    <row r="88" spans="1:3" ht="15.6" x14ac:dyDescent="0.3">
      <c r="A88" s="5" t="s">
        <v>41</v>
      </c>
      <c r="B88" s="5">
        <f>SUM(B2:B87)</f>
        <v>507</v>
      </c>
      <c r="C88" s="5"/>
    </row>
  </sheetData>
  <sortState xmlns:xlrd2="http://schemas.microsoft.com/office/spreadsheetml/2017/richdata2" ref="A2:C70">
    <sortCondition ref="A2:A70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</vt:lpstr>
      <vt:lpstr>Dados</vt:lpstr>
      <vt:lpstr>Lista</vt:lpstr>
      <vt:lpstr>Resultado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Edna Del Ry</dc:creator>
  <cp:lastModifiedBy>Edna Del Ry</cp:lastModifiedBy>
  <dcterms:created xsi:type="dcterms:W3CDTF">2022-04-19T16:13:40Z</dcterms:created>
  <dcterms:modified xsi:type="dcterms:W3CDTF">2022-05-12T18:50:35Z</dcterms:modified>
</cp:coreProperties>
</file>